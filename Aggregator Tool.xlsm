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jveersinh Zala\Desktop\"/>
    </mc:Choice>
  </mc:AlternateContent>
  <xr:revisionPtr revIDLastSave="0" documentId="13_ncr:1_{02CA5A48-BEFD-4FD5-8E8B-4FB549735EFF}" xr6:coauthVersionLast="47" xr6:coauthVersionMax="47" xr10:uidLastSave="{00000000-0000-0000-0000-000000000000}"/>
  <bookViews>
    <workbookView xWindow="-108" yWindow="-108" windowWidth="23256" windowHeight="12456" firstSheet="1" activeTab="1" xr2:uid="{62911B2E-88C4-4F67-AF4A-EAE78DE8B4AA}"/>
  </bookViews>
  <sheets>
    <sheet name="formula" sheetId="310" state="hidden" r:id="rId1"/>
    <sheet name="re" sheetId="309" r:id="rId2"/>
    <sheet name="Dashboard" sheetId="418" r:id="rId3"/>
  </sheets>
  <functionGroups builtInGroupCount="19"/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10" l="1" a="1"/>
  <c r="A2" i="310" s="1"/>
  <c r="B1" i="418"/>
  <c r="M6" i="418"/>
  <c r="M5" i="418"/>
  <c r="S2" i="310" a="1"/>
  <c r="S2" i="3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<sst xmlns="http://schemas.openxmlformats.org/spreadsheetml/2006/main" count="48" uniqueCount="27">
  <si>
    <t>rajveer</t>
  </si>
  <si>
    <t>karan</t>
  </si>
  <si>
    <t>devansh</t>
  </si>
  <si>
    <t>yash</t>
  </si>
  <si>
    <t>rakesh</t>
  </si>
  <si>
    <t>rs</t>
  </si>
  <si>
    <t>bhushan</t>
  </si>
  <si>
    <t>Name</t>
  </si>
  <si>
    <t>Row Labels</t>
  </si>
  <si>
    <t>Grand Total</t>
  </si>
  <si>
    <t>Sum of rs</t>
  </si>
  <si>
    <t>Name:</t>
  </si>
  <si>
    <t>Total orders:</t>
  </si>
  <si>
    <t>Total money:</t>
  </si>
  <si>
    <t>Total Money:</t>
  </si>
  <si>
    <t>hritik</t>
  </si>
  <si>
    <t>gitesh</t>
  </si>
  <si>
    <t>product</t>
  </si>
  <si>
    <t>pen</t>
  </si>
  <si>
    <t>pencile</t>
  </si>
  <si>
    <t>notebook</t>
  </si>
  <si>
    <t>eraser</t>
  </si>
  <si>
    <t>books</t>
  </si>
  <si>
    <t>stickers</t>
  </si>
  <si>
    <t>Laptop cover</t>
  </si>
  <si>
    <t>bag</t>
  </si>
  <si>
    <t>Sicky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</si>
</sst>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1" fillId="3" borderId="1" xfId="0" applyFont="1" applyFill="1" applyBorder="1"/>
    <xf numFmtId="14" fontId="0" fillId="0" borderId="0" xfId="0" applyNumberFormat="1"/>
    <xf numFmtId="15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2CD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[Aggregator Tool.xlsm]formula!PivotTable1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Name wise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formula!$O$2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formula!$N$3:$N$11</c:f>
              <c:strCache>
                <c:ptCount val="8"/>
                <c:pt idx="0">
                  <c:v>bhushan</c:v>
                </c:pt>
                <c:pt idx="1">
                  <c:v>devansh</c:v>
                </c:pt>
                <c:pt idx="2">
                  <c:v>karan</c:v>
                </c:pt>
                <c:pt idx="3">
                  <c:v>rajveer</c:v>
                </c:pt>
                <c:pt idx="4">
                  <c:v>rakesh</c:v>
                </c:pt>
                <c:pt idx="5">
                  <c:v>yash</c:v>
                </c:pt>
                <c:pt idx="6">
                  <c:v>hritik</c:v>
                </c:pt>
                <c:pt idx="7">
                  <c:v>gitesh</c:v>
                </c:pt>
              </c:strCache>
            </c:strRef>
          </c:cat>
          <c:val>
            <c:numRef>
              <c:f>formula!$O$3:$O$11</c:f>
              <c:numCache>
                <c:formatCode>General</c:formatCode>
                <c:ptCount val="8"/>
                <c:pt idx="0">
                  <c:v>3000</c:v>
                </c:pt>
                <c:pt idx="1">
                  <c:v>5500</c:v>
                </c:pt>
                <c:pt idx="2">
                  <c:v>3000</c:v>
                </c:pt>
                <c:pt idx="3">
                  <c:v>11500</c:v>
                </c:pt>
                <c:pt idx="4">
                  <c:v>5900</c:v>
                </c:pt>
                <c:pt idx="5">
                  <c:v>4100</c:v>
                </c:pt>
                <c:pt idx="6">
                  <c:v>150</c:v>
                </c:pt>
                <c:pt idx="7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89-4250-B821-D43C1E816B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94628992"/>
        <c:axId val="994627072"/>
      </c:barChart>
      <c:catAx>
        <c:axId val="99462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627072"/>
        <c:crosses val="autoZero"/>
        <c:auto val="1"/>
        <c:lblAlgn val="ctr"/>
        <c:lblOffset val="100"/>
        <c:noMultiLvlLbl val="0"/>
      </c:catAx>
      <c:valAx>
        <c:axId val="994627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462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130350</xdr:colOff>
      <xdr:row>1</xdr:row>
      <xdr:rowOff>33717</xdr:rowOff>
    </xdr:from>
    <xdr:to>
      <xdr:col>17</xdr:col>
      <xdr:colOff>424832</xdr:colOff>
      <xdr:row>2</xdr:row>
      <xdr:rowOff>170877</xdr:rowOff>
    </xdr:to>
    <xdr:sp macro="[0]!CreateSheetsFromTable" textlink="">
      <xdr:nvSpPr>
        <xdr:cNvPr id="2" name="Rectangle 1">
          <a:extLst>
            <a:ext uri="{FF2B5EF4-FFF2-40B4-BE49-F238E27FC236}">
              <a16:creationId xmlns:a16="http://schemas.microsoft.com/office/drawing/2014/main" id="{FDF86D47-ACBE-2965-C3AE-F966C6B32028}"/>
            </a:ext>
          </a:extLst>
        </xdr:cNvPr>
        <xdr:cNvSpPr/>
      </xdr:nvSpPr>
      <xdr:spPr>
        <a:xfrm>
          <a:off x="10076810" y="215788"/>
          <a:ext cx="901385" cy="3192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personalize</a:t>
          </a:r>
          <a:r>
            <a:rPr lang="en-IN" sz="1100" baseline="0"/>
            <a:t> </a:t>
          </a:r>
        </a:p>
        <a:p>
          <a:pPr algn="l"/>
          <a:endParaRPr lang="en-IN" sz="1100"/>
        </a:p>
      </xdr:txBody>
    </xdr:sp>
    <xdr:clientData/>
  </xdr:twoCellAnchor>
  <xdr:twoCellAnchor>
    <xdr:from>
      <xdr:col>17</xdr:col>
      <xdr:colOff>543717</xdr:colOff>
      <xdr:row>1</xdr:row>
      <xdr:rowOff>34594</xdr:rowOff>
    </xdr:from>
    <xdr:to>
      <xdr:col>20</xdr:col>
      <xdr:colOff>5394</xdr:colOff>
      <xdr:row>2</xdr:row>
      <xdr:rowOff>171754</xdr:rowOff>
    </xdr:to>
    <xdr:sp macro="[0]!DeleteSheets" textlink="">
      <xdr:nvSpPr>
        <xdr:cNvPr id="4" name="Rectangle 3">
          <a:extLst>
            <a:ext uri="{FF2B5EF4-FFF2-40B4-BE49-F238E27FC236}">
              <a16:creationId xmlns:a16="http://schemas.microsoft.com/office/drawing/2014/main" id="{EF2768A2-07B7-CB6B-FB9E-186FC92518A3}"/>
            </a:ext>
          </a:extLst>
        </xdr:cNvPr>
        <xdr:cNvSpPr/>
      </xdr:nvSpPr>
      <xdr:spPr>
        <a:xfrm>
          <a:off x="11097080" y="216665"/>
          <a:ext cx="1282385" cy="3192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delete all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601980</xdr:colOff>
      <xdr:row>1</xdr:row>
      <xdr:rowOff>99060</xdr:rowOff>
    </xdr:from>
    <xdr:to>
      <xdr:col>9</xdr:col>
      <xdr:colOff>426720</xdr:colOff>
      <xdr:row>16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67C843-C70D-47A3-A29A-873BC79654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525780</xdr:colOff>
      <xdr:row>0</xdr:row>
      <xdr:rowOff>167640</xdr:rowOff>
    </xdr:from>
    <xdr:to>
      <xdr:col>17</xdr:col>
      <xdr:colOff>22860</xdr:colOff>
      <xdr:row>4</xdr:row>
      <xdr:rowOff>76200</xdr:rowOff>
    </xdr:to>
    <xdr:sp macro="[0]!refresh_data" textlink="">
      <xdr:nvSpPr>
        <xdr:cNvPr id="3" name="Scroll: Horizontal 2">
          <a:extLst>
            <a:ext uri="{FF2B5EF4-FFF2-40B4-BE49-F238E27FC236}">
              <a16:creationId xmlns:a16="http://schemas.microsoft.com/office/drawing/2014/main" id="{61FD0D65-E8D0-E0B1-2B47-ECD349EB086B}"/>
            </a:ext>
          </a:extLst>
        </xdr:cNvPr>
        <xdr:cNvSpPr/>
      </xdr:nvSpPr>
      <xdr:spPr>
        <a:xfrm>
          <a:off x="8877300" y="167640"/>
          <a:ext cx="1935480" cy="640080"/>
        </a:xfrm>
        <a:prstGeom prst="horizontalScroll">
          <a:avLst/>
        </a:prstGeom>
        <a:gradFill flip="none" rotWithShape="1">
          <a:gsLst>
            <a:gs pos="0">
              <a:srgbClr val="2CDCDC">
                <a:shade val="30000"/>
                <a:satMod val="115000"/>
              </a:srgbClr>
            </a:gs>
            <a:gs pos="50000">
              <a:srgbClr val="2CDCDC">
                <a:shade val="67500"/>
                <a:satMod val="115000"/>
              </a:srgbClr>
            </a:gs>
            <a:gs pos="100000">
              <a:srgbClr val="2CDCDC">
                <a:shade val="100000"/>
                <a:satMod val="115000"/>
              </a:srgbClr>
            </a:gs>
          </a:gsLst>
          <a:lin ang="2700000" scaled="1"/>
          <a:tileRect/>
        </a:gra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chemeClr val="tx1"/>
              </a:solidFill>
            </a:rPr>
            <a:t>Refresh</a:t>
          </a:r>
          <a:r>
            <a:rPr lang="en-IN" sz="1400" baseline="0">
              <a:solidFill>
                <a:schemeClr val="tx1"/>
              </a:solidFill>
            </a:rPr>
            <a:t> Data</a:t>
          </a:r>
          <a:endParaRPr lang="en-IN" sz="1400">
            <a:solidFill>
              <a:schemeClr val="tx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veersinh Zala" refreshedDate="45359.453192013891" createdVersion="8" refreshedVersion="8" minRefreshableVersion="3" recordCount="14" xr:uid="{C4AAA298-DC4A-4675-95DD-76C490EB7230}">
  <cacheSource type="worksheet">
    <worksheetSource name="Table1"/>
  </cacheSource>
  <cacheFields count="3">
    <cacheField name="Name" numFmtId="0">
      <sharedItems count="11">
        <s v="rajveer"/>
        <s v="karan"/>
        <s v="devansh"/>
        <s v="yash"/>
        <s v="rakesh"/>
        <s v="bhushan"/>
        <s v="hritik"/>
        <s v="gitesh"/>
        <s v="janak sir" u="1"/>
        <s v="bambol" u="1"/>
        <s v="chanak" u="1"/>
      </sharedItems>
    </cacheField>
    <cacheField name="rs" numFmtId="0">
      <sharedItems containsSemiMixedTypes="0" containsString="0" containsNumber="1" containsInteger="1" minValue="20" maxValue="5000"/>
    </cacheField>
    <cacheField name="produ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n v="5000"/>
    <s v="pen"/>
  </r>
  <r>
    <x v="1"/>
    <n v="3000"/>
    <s v="pencile"/>
  </r>
  <r>
    <x v="2"/>
    <n v="1000"/>
    <s v="notebook"/>
  </r>
  <r>
    <x v="3"/>
    <n v="2000"/>
    <s v="eraser"/>
  </r>
  <r>
    <x v="0"/>
    <n v="4000"/>
    <s v="books"/>
  </r>
  <r>
    <x v="0"/>
    <n v="2500"/>
    <s v="stickers"/>
  </r>
  <r>
    <x v="3"/>
    <n v="2100"/>
    <s v="notebook"/>
  </r>
  <r>
    <x v="4"/>
    <n v="3200"/>
    <s v="Laptop cover"/>
  </r>
  <r>
    <x v="2"/>
    <n v="4500"/>
    <s v="bag"/>
  </r>
  <r>
    <x v="4"/>
    <n v="2700"/>
    <s v="Sicky Notes"/>
  </r>
  <r>
    <x v="5"/>
    <n v="3000"/>
    <s v="pen"/>
  </r>
  <r>
    <x v="6"/>
    <n v="50"/>
    <s v="eraser"/>
  </r>
  <r>
    <x v="6"/>
    <n v="100"/>
    <s v="notebook"/>
  </r>
  <r>
    <x v="7"/>
    <n v="20"/>
    <s v="penci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EA93F7-D3C8-429C-B77D-3756DC4B186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N2:O11" firstHeaderRow="1" firstDataRow="1" firstDataCol="1"/>
  <pivotFields count="3">
    <pivotField axis="axisRow" showAll="0">
      <items count="12">
        <item x="5"/>
        <item x="2"/>
        <item x="1"/>
        <item x="0"/>
        <item x="4"/>
        <item x="3"/>
        <item m="1" x="10"/>
        <item m="1" x="8"/>
        <item m="1" x="9"/>
        <item x="6"/>
        <item x="7"/>
        <item t="default"/>
      </items>
    </pivotField>
    <pivotField dataField="1"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9"/>
    </i>
    <i>
      <x v="10"/>
    </i>
    <i t="grand">
      <x/>
    </i>
  </rowItems>
  <colItems count="1">
    <i/>
  </colItems>
  <dataFields count="1">
    <dataField name="Sum of rs" fld="1" baseField="0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ED37EC-8B3C-4DF6-A210-303B456017ED}" name="Table1" displayName="Table1" ref="A1:C15" totalsRowShown="0">
  <autoFilter ref="A1:C15" xr:uid="{2EED37EC-8B3C-4DF6-A210-303B456017ED}"/>
  <tableColumns count="3">
    <tableColumn id="1" xr3:uid="{684AD203-0704-40FC-B6E8-9E6352A17A52}" name="Name"/>
    <tableColumn id="2" xr3:uid="{65B980EF-0D0A-4A6E-BF94-F5C982B8B56A}" name="rs"/>
    <tableColumn id="3" xr3:uid="{83447094-1542-401A-AB57-3AC1A965A821}" name="produc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6C50E-234C-48E8-9609-507FAB11DB0A}">
  <sheetPr codeName="Sheet2">
    <tabColor rgb="FFFF0000"/>
  </sheetPr>
  <dimension ref="A2:XFD11"/>
  <sheetViews>
    <sheetView workbookViewId="0">
      <selection activeCell="A2" sqref="A2"/>
    </sheetView>
  </sheetViews>
  <sheetFormatPr defaultRowHeight="14.4" x14ac:dyDescent="0.3"/>
  <cols>
    <col min="14" max="14" width="12.5546875" bestFit="1" customWidth="1"/>
  </cols>
  <sheetData>
    <row r="2" spans="1:19 16384:16384" x14ac:dyDescent="0.3">
      <c r="A2" t="str" cm="1">
        <f t="array" ref="A2:C4">_xlfn._xlws.FILTER(Table1[],Table1[Name]=XFD2)</f>
        <v>rajveer</v>
      </c>
      <c r="B2">
        <v>5000</v>
      </c>
      <c r="C2" t="str">
        <v>pen</v>
      </c>
      <c r="N2" s="1" t="s">
        <v>8</v>
      </c>
      <c r="O2" t="s">
        <v>10</v>
      </c>
      <c r="S2" t="str" cm="1">
        <f t="array" ref="S2:S9">_xlfn.UNIQUE(Table1[Name])</f>
        <v>rajveer</v>
      </c>
      <c r="XFD2" t="s">
        <v>0</v>
      </c>
    </row>
    <row r="3" spans="1:19 16384:16384" x14ac:dyDescent="0.3">
      <c r="A3" t="str">
        <v>rajveer</v>
      </c>
      <c r="B3">
        <v>4000</v>
      </c>
      <c r="C3" t="str">
        <v>books</v>
      </c>
      <c r="N3" s="2" t="s">
        <v>6</v>
      </c>
      <c r="O3">
        <v>3000</v>
      </c>
      <c r="S3" t="str">
        <v>karan</v>
      </c>
    </row>
    <row r="4" spans="1:19 16384:16384" x14ac:dyDescent="0.3">
      <c r="A4" t="str">
        <v>rajveer</v>
      </c>
      <c r="B4">
        <v>2500</v>
      </c>
      <c r="C4" t="str">
        <v>stickers</v>
      </c>
      <c r="N4" s="2" t="s">
        <v>2</v>
      </c>
      <c r="O4">
        <v>5500</v>
      </c>
      <c r="S4" t="str">
        <v>devansh</v>
      </c>
    </row>
    <row r="5" spans="1:19 16384:16384" x14ac:dyDescent="0.3">
      <c r="N5" s="2" t="s">
        <v>1</v>
      </c>
      <c r="O5">
        <v>3000</v>
      </c>
      <c r="S5" t="str">
        <v>yash</v>
      </c>
    </row>
    <row r="6" spans="1:19 16384:16384" x14ac:dyDescent="0.3">
      <c r="N6" s="2" t="s">
        <v>0</v>
      </c>
      <c r="O6">
        <v>11500</v>
      </c>
      <c r="S6" t="str">
        <v>rakesh</v>
      </c>
    </row>
    <row r="7" spans="1:19 16384:16384" x14ac:dyDescent="0.3">
      <c r="N7" s="2" t="s">
        <v>4</v>
      </c>
      <c r="O7">
        <v>5900</v>
      </c>
      <c r="S7" t="str">
        <v>bhushan</v>
      </c>
    </row>
    <row r="8" spans="1:19 16384:16384" x14ac:dyDescent="0.3">
      <c r="N8" s="2" t="s">
        <v>3</v>
      </c>
      <c r="O8">
        <v>4100</v>
      </c>
      <c r="S8" t="str">
        <v>hritik</v>
      </c>
    </row>
    <row r="9" spans="1:19 16384:16384" x14ac:dyDescent="0.3">
      <c r="N9" s="2" t="s">
        <v>15</v>
      </c>
      <c r="O9">
        <v>150</v>
      </c>
      <c r="S9" t="str">
        <v>gitesh</v>
      </c>
    </row>
    <row r="10" spans="1:19 16384:16384" x14ac:dyDescent="0.3">
      <c r="N10" s="2" t="s">
        <v>16</v>
      </c>
      <c r="O10">
        <v>20</v>
      </c>
    </row>
    <row r="11" spans="1:19 16384:16384" x14ac:dyDescent="0.3">
      <c r="N11" s="2" t="s">
        <v>9</v>
      </c>
      <c r="O11">
        <v>33170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4B10C-B706-4F9B-B278-9A5C2EC01F00}">
  <sheetPr codeName="Sheet1">
    <tabColor rgb="FFFFFF00"/>
  </sheetPr>
  <dimension ref="A1:E15"/>
  <sheetViews>
    <sheetView showGridLines="0" tabSelected="1" zoomScale="113" workbookViewId="0">
      <selection activeCell="O8" sqref="O8"/>
    </sheetView>
  </sheetViews>
  <sheetFormatPr defaultRowHeight="14.4" x14ac:dyDescent="0.3"/>
  <cols>
    <col min="3" max="3" width="11.109375" bestFit="1" customWidth="1"/>
    <col min="5" max="5" width="10" bestFit="1" customWidth="1"/>
  </cols>
  <sheetData>
    <row r="1" spans="1:5" x14ac:dyDescent="0.3">
      <c r="A1" t="s">
        <v>7</v>
      </c>
      <c r="B1" t="s">
        <v>5</v>
      </c>
      <c r="C1" t="s">
        <v>17</v>
      </c>
    </row>
    <row r="2" spans="1:5" x14ac:dyDescent="0.3">
      <c r="A2" t="s">
        <v>0</v>
      </c>
      <c r="B2">
        <v>5000</v>
      </c>
      <c r="C2" s="8" t="s">
        <v>18</v>
      </c>
      <c r="E2" s="7"/>
    </row>
    <row r="3" spans="1:5" x14ac:dyDescent="0.3">
      <c r="A3" t="s">
        <v>1</v>
      </c>
      <c r="B3">
        <v>3000</v>
      </c>
      <c r="C3" t="s">
        <v>19</v>
      </c>
      <c r="E3" s="7"/>
    </row>
    <row r="4" spans="1:5" x14ac:dyDescent="0.3">
      <c r="A4" t="s">
        <v>2</v>
      </c>
      <c r="B4">
        <v>1000</v>
      </c>
      <c r="C4" t="s">
        <v>20</v>
      </c>
      <c r="E4" s="7"/>
    </row>
    <row r="5" spans="1:5" x14ac:dyDescent="0.3">
      <c r="A5" t="s">
        <v>3</v>
      </c>
      <c r="B5">
        <v>2000</v>
      </c>
      <c r="C5" t="s">
        <v>21</v>
      </c>
      <c r="E5" s="7"/>
    </row>
    <row r="6" spans="1:5" x14ac:dyDescent="0.3">
      <c r="A6" t="s">
        <v>0</v>
      </c>
      <c r="B6">
        <v>4000</v>
      </c>
      <c r="C6" t="s">
        <v>22</v>
      </c>
      <c r="E6" s="7"/>
    </row>
    <row r="7" spans="1:5" x14ac:dyDescent="0.3">
      <c r="A7" t="s">
        <v>0</v>
      </c>
      <c r="B7">
        <v>2500</v>
      </c>
      <c r="C7" t="s">
        <v>23</v>
      </c>
      <c r="E7" s="7"/>
    </row>
    <row r="8" spans="1:5" x14ac:dyDescent="0.3">
      <c r="A8" t="s">
        <v>3</v>
      </c>
      <c r="B8">
        <v>2100</v>
      </c>
      <c r="C8" t="s">
        <v>20</v>
      </c>
      <c r="E8" s="7"/>
    </row>
    <row r="9" spans="1:5" x14ac:dyDescent="0.3">
      <c r="A9" t="s">
        <v>4</v>
      </c>
      <c r="B9">
        <v>3200</v>
      </c>
      <c r="C9" t="s">
        <v>24</v>
      </c>
      <c r="E9" s="7"/>
    </row>
    <row r="10" spans="1:5" x14ac:dyDescent="0.3">
      <c r="A10" t="s">
        <v>2</v>
      </c>
      <c r="B10">
        <v>4500</v>
      </c>
      <c r="C10" t="s">
        <v>25</v>
      </c>
      <c r="E10" s="7"/>
    </row>
    <row r="11" spans="1:5" x14ac:dyDescent="0.3">
      <c r="A11" t="s">
        <v>4</v>
      </c>
      <c r="B11">
        <v>2700</v>
      </c>
      <c r="C11" t="s">
        <v>26</v>
      </c>
      <c r="E11" s="7"/>
    </row>
    <row r="12" spans="1:5" x14ac:dyDescent="0.3">
      <c r="A12" t="s">
        <v>6</v>
      </c>
      <c r="B12">
        <v>3000</v>
      </c>
      <c r="C12" t="s">
        <v>18</v>
      </c>
      <c r="E12" s="7"/>
    </row>
    <row r="13" spans="1:5" x14ac:dyDescent="0.3">
      <c r="A13" t="s">
        <v>15</v>
      </c>
      <c r="B13">
        <v>50</v>
      </c>
      <c r="C13" t="s">
        <v>21</v>
      </c>
      <c r="E13" s="7"/>
    </row>
    <row r="14" spans="1:5" x14ac:dyDescent="0.3">
      <c r="A14" t="s">
        <v>15</v>
      </c>
      <c r="B14">
        <v>100</v>
      </c>
      <c r="C14" t="s">
        <v>20</v>
      </c>
      <c r="E14" s="7"/>
    </row>
    <row r="15" spans="1:5" x14ac:dyDescent="0.3">
      <c r="A15" t="s">
        <v>16</v>
      </c>
      <c r="B15">
        <v>20</v>
      </c>
      <c r="C15" t="s">
        <v>19</v>
      </c>
      <c r="E15" s="7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642D8-B98B-4635-AB5D-B5CAE5560671}">
  <sheetPr codeName="Sheet100">
    <tabColor rgb="FF00B050"/>
  </sheetPr>
  <dimension ref="A1:M6"/>
  <sheetViews>
    <sheetView showGridLines="0" workbookViewId="0">
      <selection activeCell="M6" sqref="M6"/>
    </sheetView>
  </sheetViews>
  <sheetFormatPr defaultRowHeight="14.4" x14ac:dyDescent="0.3"/>
  <cols>
    <col min="1" max="1" width="11.88671875" style="3" bestFit="1" customWidth="1"/>
    <col min="2" max="11" width="8.88671875" style="3"/>
    <col min="12" max="12" width="11.44140625" style="3" bestFit="1" customWidth="1"/>
    <col min="13" max="13" width="9.5546875" style="3" customWidth="1"/>
    <col min="14" max="16384" width="8.88671875" style="3"/>
  </cols>
  <sheetData>
    <row r="1" spans="1:13" x14ac:dyDescent="0.3">
      <c r="A1" s="4" t="s">
        <v>14</v>
      </c>
      <c r="B1" s="4">
        <f>SUM(Table1[rs])</f>
        <v>33170</v>
      </c>
    </row>
    <row r="4" spans="1:13" x14ac:dyDescent="0.3">
      <c r="L4" s="4" t="s">
        <v>11</v>
      </c>
      <c r="M4" s="6" t="s">
        <v>3</v>
      </c>
    </row>
    <row r="5" spans="1:13" x14ac:dyDescent="0.3">
      <c r="L5" s="4" t="s">
        <v>12</v>
      </c>
      <c r="M5" s="5">
        <f>COUNTIF(Table1[Name],Dashboard!M4)</f>
        <v>2</v>
      </c>
    </row>
    <row r="6" spans="1:13" x14ac:dyDescent="0.3">
      <c r="L6" s="4" t="s">
        <v>13</v>
      </c>
      <c r="M6" s="5">
        <f>SUMIF(Table1[Name],Dashboard!M4,Table1[rs])</f>
        <v>4100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4C8E6F-4AA0-4A61-812A-D962F8BCBA39}">
          <x14:formula1>
            <xm:f>formula!$S$2:$S$1048576</xm:f>
          </x14:formula1>
          <xm:sqref>M4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formula</vt:lpstr>
      <vt:lpstr>re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Zala Rajveersinh</dc:creator>
  <cp:lastModifiedBy>Zala Rajveersinh</cp:lastModifiedBy>
  <dcterms:created xsi:type="dcterms:W3CDTF">2024-03-06T13:47:30Z</dcterms:created>
  <dcterms:modified xsi:type="dcterms:W3CDTF">2024-03-08T05:32:18Z</dcterms:modified>
</cp:coreProperties>
</file>